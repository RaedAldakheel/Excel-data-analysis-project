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edaldakheel/Downloads/Data Analysis projects/project 1 excel/"/>
    </mc:Choice>
  </mc:AlternateContent>
  <xr:revisionPtr revIDLastSave="0" documentId="8_{89E5540C-7F50-7A4F-A917-3FE6B80DFA8C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Montgomery_Fleet_Equipment_Inve" sheetId="1" r:id="rId1"/>
    <sheet name="pivot table1" sheetId="3" r:id="rId2"/>
    <sheet name="pivot table 2" sheetId="4" r:id="rId3"/>
    <sheet name="pivot table 3" sheetId="5" r:id="rId4"/>
  </sheets>
  <definedNames>
    <definedName name="_xlnm._FilterDatabase" localSheetId="0" hidden="1">Montgomery_Fleet_Equipment_Inve!$A$1:$C$50</definedName>
  </definedNames>
  <calcPr calcId="191029" concurrentCalc="0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G1" i="1"/>
</calcChain>
</file>

<file path=xl/sharedStrings.xml><?xml version="1.0" encoding="utf-8"?>
<sst xmlns="http://schemas.openxmlformats.org/spreadsheetml/2006/main" count="166" uniqueCount="38">
  <si>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</si>
  <si>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</si>
  <si>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</si>
  <si>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</si>
  <si>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</si>
  <si>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</si>
  <si>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</si>
  <si>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</si>
  <si>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</si>
  <si>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</si>
  <si>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</si>
  <si>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</si>
  <si>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</si>
  <si>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</si>
  <si>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</si>
  <si>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</si>
  <si>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</si>
  <si>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</si>
  <si>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</si>
  <si>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</si>
  <si>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</si>
  <si>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</si>
  <si>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</si>
  <si>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</si>
  <si>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</si>
  <si>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</si>
  <si>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</si>
  <si>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</si>
  <si>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</si>
  <si>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SUM=</t>
  </si>
  <si>
    <t>Average=</t>
  </si>
  <si>
    <t>Min=</t>
  </si>
  <si>
    <t>Max=</t>
  </si>
  <si>
    <t>count=</t>
  </si>
  <si>
    <t>Row Labels</t>
  </si>
  <si>
    <t>Grand Total</t>
  </si>
  <si>
    <t>Sum of Equipment Count</t>
  </si>
  <si>
    <t>Count of Equipment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</si>
</sst>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13.635364351852" createdVersion="8" refreshedVersion="8" minRefreshableVersion="3" recordCount="49" xr:uid="{159F448C-C1F9-0848-8695-A64AE597FB42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C76F9-340C-084E-B296-F52679B2D50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quipment Count" fld="2" baseField="0" baseItem="0"/>
    <dataField name="Count of Equipment Clas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3E275-FB01-6F42-8620-021A325B4A1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/>
    </i>
    <i r="1">
      <x v="12"/>
    </i>
    <i r="1">
      <x v="3"/>
    </i>
    <i r="1">
      <x v="1"/>
    </i>
    <i r="1">
      <x v="2"/>
    </i>
    <i r="1">
      <x v="4"/>
    </i>
    <i r="1">
      <x v="11"/>
    </i>
    <i r="1">
      <x v="10"/>
    </i>
    <i r="1">
      <x v="13"/>
    </i>
    <i r="1"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390C1-067A-214B-9A9E-78BF7272AFC4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08D77-564B-DF40-AE5D-5D07B4B6CAD9}" name="Table1" displayName="Table1" ref="A1:C50" totalsRowShown="0">
  <autoFilter ref="A1:C50" xr:uid="{BD708D77-564B-DF40-AE5D-5D07B4B6CAD9}"/>
  <sortState xmlns:xlrd2="http://schemas.microsoft.com/office/spreadsheetml/2017/richdata2" ref="A2:C50">
    <sortCondition ref="A1:A50"/>
  </sortState>
  <tableColumns count="3">
    <tableColumn id="1" xr3:uid="{D97FD156-0E91-504D-B59D-91E02C4D08FB}" name="Department"/>
    <tableColumn id="2" xr3:uid="{3F1F4023-8589-3E48-B3FE-3B9E405693B4}" name="Equipment Class"/>
    <tableColumn id="3" xr3:uid="{C9C99F95-B483-344C-B7BE-392DBAD689CB}" name="Equipment Count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16.83203125" customWidth="1"/>
  </cols>
  <sheetData>
    <row r="1" spans="1:7" x14ac:dyDescent="0.2">
      <c r="A1" t="s">
        <v>0</v>
      </c>
      <c r="B1" t="s">
        <v>1</v>
      </c>
      <c r="C1" t="s">
        <v>2</v>
      </c>
      <c r="F1" t="s">
        <v>29</v>
      </c>
      <c r="G1">
        <f>SUM(Table1[Equipment Count])</f>
        <v>1582</v>
      </c>
    </row>
    <row r="2" spans="1:7" x14ac:dyDescent="0.2">
      <c r="A2" t="s">
        <v>5</v>
      </c>
      <c r="B2" t="s">
        <v>6</v>
      </c>
      <c r="C2">
        <v>21</v>
      </c>
      <c r="F2" t="s">
        <v>30</v>
      </c>
      <c r="G2">
        <f>AVERAGE(Table1[Equipment Count])</f>
        <v>32.285714285714285</v>
      </c>
    </row>
    <row r="3" spans="1:7" x14ac:dyDescent="0.2">
      <c r="A3" t="s">
        <v>5</v>
      </c>
      <c r="B3" t="s">
        <v>7</v>
      </c>
      <c r="C3">
        <v>1</v>
      </c>
      <c r="F3" t="s">
        <v>31</v>
      </c>
      <c r="G3">
        <f>MIN(Table1[Equipment Count])</f>
        <v>1</v>
      </c>
    </row>
    <row r="4" spans="1:7" x14ac:dyDescent="0.2">
      <c r="A4" t="s">
        <v>5</v>
      </c>
      <c r="B4" t="s">
        <v>4</v>
      </c>
      <c r="C4">
        <v>23</v>
      </c>
      <c r="F4" t="s">
        <v>32</v>
      </c>
      <c r="G4">
        <f>MAX(Table1[Equipment Count])</f>
        <v>379</v>
      </c>
    </row>
    <row r="5" spans="1:7" x14ac:dyDescent="0.2">
      <c r="A5" t="s">
        <v>8</v>
      </c>
      <c r="B5" t="s">
        <v>4</v>
      </c>
      <c r="C5">
        <v>2</v>
      </c>
      <c r="F5" t="s">
        <v>33</v>
      </c>
      <c r="G5">
        <f>COUNT(Table1[Equipment Count])</f>
        <v>49</v>
      </c>
    </row>
    <row r="6" spans="1:7" x14ac:dyDescent="0.2">
      <c r="A6" t="s">
        <v>9</v>
      </c>
      <c r="B6" t="s">
        <v>6</v>
      </c>
      <c r="C6">
        <v>3</v>
      </c>
    </row>
    <row r="7" spans="1:7" x14ac:dyDescent="0.2">
      <c r="A7" t="s">
        <v>9</v>
      </c>
      <c r="B7" t="s">
        <v>10</v>
      </c>
      <c r="C7">
        <v>2</v>
      </c>
    </row>
    <row r="8" spans="1:7" x14ac:dyDescent="0.2">
      <c r="A8" t="s">
        <v>9</v>
      </c>
      <c r="B8" t="s">
        <v>11</v>
      </c>
      <c r="C8">
        <v>1</v>
      </c>
    </row>
    <row r="9" spans="1:7" x14ac:dyDescent="0.2">
      <c r="A9" t="s">
        <v>12</v>
      </c>
      <c r="B9" t="s">
        <v>10</v>
      </c>
      <c r="C9">
        <v>2</v>
      </c>
    </row>
    <row r="10" spans="1:7" x14ac:dyDescent="0.2">
      <c r="A10" t="s">
        <v>12</v>
      </c>
      <c r="B10" t="s">
        <v>13</v>
      </c>
      <c r="C10">
        <v>42</v>
      </c>
    </row>
    <row r="11" spans="1:7" x14ac:dyDescent="0.2">
      <c r="A11" t="s">
        <v>12</v>
      </c>
      <c r="B11" t="s">
        <v>7</v>
      </c>
      <c r="C11">
        <v>1</v>
      </c>
    </row>
    <row r="12" spans="1:7" x14ac:dyDescent="0.2">
      <c r="A12" t="s">
        <v>12</v>
      </c>
      <c r="B12" t="s">
        <v>4</v>
      </c>
      <c r="C12">
        <v>11</v>
      </c>
    </row>
    <row r="13" spans="1:7" x14ac:dyDescent="0.2">
      <c r="A13" t="s">
        <v>14</v>
      </c>
      <c r="B13" t="s">
        <v>7</v>
      </c>
      <c r="C13">
        <v>1</v>
      </c>
    </row>
    <row r="14" spans="1:7" x14ac:dyDescent="0.2">
      <c r="A14" t="s">
        <v>15</v>
      </c>
      <c r="B14" t="s">
        <v>16</v>
      </c>
      <c r="C14">
        <v>9</v>
      </c>
    </row>
    <row r="15" spans="1:7" x14ac:dyDescent="0.2">
      <c r="A15" t="s">
        <v>15</v>
      </c>
      <c r="B15" t="s">
        <v>7</v>
      </c>
      <c r="C15">
        <v>27</v>
      </c>
    </row>
    <row r="16" spans="1:7" x14ac:dyDescent="0.2">
      <c r="A16" t="s">
        <v>15</v>
      </c>
      <c r="B16" t="s">
        <v>6</v>
      </c>
      <c r="C16">
        <v>24</v>
      </c>
    </row>
    <row r="17" spans="1:3" x14ac:dyDescent="0.2">
      <c r="A17" t="s">
        <v>15</v>
      </c>
      <c r="B17" t="s">
        <v>10</v>
      </c>
      <c r="C17">
        <v>1</v>
      </c>
    </row>
    <row r="18" spans="1:3" x14ac:dyDescent="0.2">
      <c r="A18" t="s">
        <v>15</v>
      </c>
      <c r="B18" t="s">
        <v>4</v>
      </c>
      <c r="C18">
        <v>48</v>
      </c>
    </row>
    <row r="19" spans="1:3" x14ac:dyDescent="0.2">
      <c r="A19" t="s">
        <v>17</v>
      </c>
      <c r="B19" t="s">
        <v>10</v>
      </c>
      <c r="C19">
        <v>1</v>
      </c>
    </row>
    <row r="20" spans="1:3" x14ac:dyDescent="0.2">
      <c r="A20" t="s">
        <v>18</v>
      </c>
      <c r="B20" t="s">
        <v>4</v>
      </c>
      <c r="C20">
        <v>6</v>
      </c>
    </row>
    <row r="21" spans="1:3" x14ac:dyDescent="0.2">
      <c r="A21" t="s">
        <v>18</v>
      </c>
      <c r="B21" t="s">
        <v>6</v>
      </c>
      <c r="C21">
        <v>5</v>
      </c>
    </row>
    <row r="22" spans="1:3" x14ac:dyDescent="0.2">
      <c r="A22" t="s">
        <v>18</v>
      </c>
      <c r="B22" t="s">
        <v>7</v>
      </c>
      <c r="C22">
        <v>2</v>
      </c>
    </row>
    <row r="23" spans="1:3" x14ac:dyDescent="0.2">
      <c r="A23" t="s">
        <v>18</v>
      </c>
      <c r="B23" t="s">
        <v>10</v>
      </c>
      <c r="C23">
        <v>15</v>
      </c>
    </row>
    <row r="24" spans="1:3" x14ac:dyDescent="0.2">
      <c r="A24" t="s">
        <v>18</v>
      </c>
      <c r="B24" t="s">
        <v>28</v>
      </c>
      <c r="C24">
        <v>7</v>
      </c>
    </row>
    <row r="25" spans="1:3" x14ac:dyDescent="0.2">
      <c r="A25" t="s">
        <v>19</v>
      </c>
      <c r="B25" t="s">
        <v>3</v>
      </c>
      <c r="C25">
        <v>20</v>
      </c>
    </row>
    <row r="26" spans="1:3" x14ac:dyDescent="0.2">
      <c r="A26" t="s">
        <v>19</v>
      </c>
      <c r="B26" t="s">
        <v>4</v>
      </c>
      <c r="C26">
        <v>1</v>
      </c>
    </row>
    <row r="27" spans="1:3" x14ac:dyDescent="0.2">
      <c r="A27" t="s">
        <v>19</v>
      </c>
      <c r="B27" t="s">
        <v>11</v>
      </c>
      <c r="C27">
        <v>1</v>
      </c>
    </row>
    <row r="28" spans="1:3" x14ac:dyDescent="0.2">
      <c r="A28" t="s">
        <v>19</v>
      </c>
      <c r="B28" t="s">
        <v>6</v>
      </c>
      <c r="C28">
        <v>3</v>
      </c>
    </row>
    <row r="29" spans="1:3" x14ac:dyDescent="0.2">
      <c r="A29" t="s">
        <v>19</v>
      </c>
      <c r="B29" t="s">
        <v>7</v>
      </c>
      <c r="C29">
        <v>1</v>
      </c>
    </row>
    <row r="30" spans="1:3" x14ac:dyDescent="0.2">
      <c r="A30" t="s">
        <v>19</v>
      </c>
      <c r="B30" t="s">
        <v>20</v>
      </c>
      <c r="C30">
        <v>8</v>
      </c>
    </row>
    <row r="31" spans="1:3" x14ac:dyDescent="0.2">
      <c r="A31" t="s">
        <v>19</v>
      </c>
      <c r="B31" t="s">
        <v>21</v>
      </c>
      <c r="C31">
        <v>4</v>
      </c>
    </row>
    <row r="32" spans="1:3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  <row r="56" spans="1:3" ht="18" x14ac:dyDescent="0.2">
      <c r="B56" s="1"/>
    </row>
    <row r="57" spans="1:3" ht="18" x14ac:dyDescent="0.2">
      <c r="B57" s="2"/>
    </row>
    <row r="58" spans="1:3" ht="18" x14ac:dyDescent="0.2">
      <c r="B58" s="2"/>
    </row>
    <row r="59" spans="1:3" ht="18" x14ac:dyDescent="0.2">
      <c r="B59" s="2"/>
    </row>
    <row r="60" spans="1:3" ht="18" x14ac:dyDescent="0.2">
      <c r="B60" s="2"/>
    </row>
    <row r="61" spans="1:3" ht="18" x14ac:dyDescent="0.2">
      <c r="B6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0C71-C125-0249-BFFB-CFB37DE17D4B}">
  <dimension ref="A3:C16"/>
  <sheetViews>
    <sheetView workbookViewId="0">
      <selection activeCell="B5" sqref="B5"/>
    </sheetView>
  </sheetViews>
  <sheetFormatPr baseColWidth="10" defaultRowHeight="15" x14ac:dyDescent="0.2"/>
  <cols>
    <col min="1" max="1" width="25.1640625" bestFit="1" customWidth="1"/>
    <col min="2" max="2" width="20.33203125" bestFit="1" customWidth="1"/>
    <col min="3" max="3" width="20.6640625" bestFit="1" customWidth="1"/>
    <col min="4" max="5" width="2.1640625" bestFit="1" customWidth="1"/>
    <col min="6" max="6" width="3.1640625" bestFit="1" customWidth="1"/>
    <col min="7" max="10" width="2.1640625" bestFit="1" customWidth="1"/>
    <col min="11" max="25" width="3.1640625" bestFit="1" customWidth="1"/>
    <col min="26" max="28" width="4.1640625" bestFit="1" customWidth="1"/>
    <col min="29" max="29" width="20.6640625" bestFit="1" customWidth="1"/>
    <col min="30" max="37" width="2.1640625" bestFit="1" customWidth="1"/>
    <col min="38" max="52" width="3.1640625" bestFit="1" customWidth="1"/>
    <col min="53" max="55" width="4.1640625" bestFit="1" customWidth="1"/>
    <col min="56" max="56" width="24.6640625" bestFit="1" customWidth="1"/>
    <col min="57" max="57" width="25" bestFit="1" customWidth="1"/>
  </cols>
  <sheetData>
    <row r="3" spans="1:3" x14ac:dyDescent="0.2">
      <c r="A3" s="3" t="s">
        <v>34</v>
      </c>
      <c r="B3" t="s">
        <v>36</v>
      </c>
      <c r="C3" t="s">
        <v>37</v>
      </c>
    </row>
    <row r="4" spans="1:3" x14ac:dyDescent="0.2">
      <c r="A4" s="4" t="s">
        <v>26</v>
      </c>
      <c r="B4" s="5">
        <v>1221</v>
      </c>
      <c r="C4" s="5">
        <v>9</v>
      </c>
    </row>
    <row r="5" spans="1:3" x14ac:dyDescent="0.2">
      <c r="A5" s="4" t="s">
        <v>15</v>
      </c>
      <c r="B5" s="5">
        <v>109</v>
      </c>
      <c r="C5" s="5">
        <v>5</v>
      </c>
    </row>
    <row r="6" spans="1:3" x14ac:dyDescent="0.2">
      <c r="A6" s="4" t="s">
        <v>19</v>
      </c>
      <c r="B6" s="5">
        <v>85</v>
      </c>
      <c r="C6" s="5">
        <v>9</v>
      </c>
    </row>
    <row r="7" spans="1:3" x14ac:dyDescent="0.2">
      <c r="A7" s="4" t="s">
        <v>12</v>
      </c>
      <c r="B7" s="5">
        <v>56</v>
      </c>
      <c r="C7" s="5">
        <v>4</v>
      </c>
    </row>
    <row r="8" spans="1:3" x14ac:dyDescent="0.2">
      <c r="A8" s="4" t="s">
        <v>5</v>
      </c>
      <c r="B8" s="5">
        <v>45</v>
      </c>
      <c r="C8" s="5">
        <v>3</v>
      </c>
    </row>
    <row r="9" spans="1:3" x14ac:dyDescent="0.2">
      <c r="A9" s="4" t="s">
        <v>18</v>
      </c>
      <c r="B9" s="5">
        <v>35</v>
      </c>
      <c r="C9" s="5">
        <v>5</v>
      </c>
    </row>
    <row r="10" spans="1:3" x14ac:dyDescent="0.2">
      <c r="A10" s="4" t="s">
        <v>25</v>
      </c>
      <c r="B10" s="5">
        <v>16</v>
      </c>
      <c r="C10" s="5">
        <v>4</v>
      </c>
    </row>
    <row r="11" spans="1:3" x14ac:dyDescent="0.2">
      <c r="A11" s="4" t="s">
        <v>9</v>
      </c>
      <c r="B11" s="5">
        <v>6</v>
      </c>
      <c r="C11" s="5">
        <v>3</v>
      </c>
    </row>
    <row r="12" spans="1:3" x14ac:dyDescent="0.2">
      <c r="A12" s="4" t="s">
        <v>24</v>
      </c>
      <c r="B12" s="5">
        <v>5</v>
      </c>
      <c r="C12" s="5">
        <v>4</v>
      </c>
    </row>
    <row r="13" spans="1:3" x14ac:dyDescent="0.2">
      <c r="A13" s="4" t="s">
        <v>8</v>
      </c>
      <c r="B13" s="5">
        <v>2</v>
      </c>
      <c r="C13" s="5">
        <v>1</v>
      </c>
    </row>
    <row r="14" spans="1:3" x14ac:dyDescent="0.2">
      <c r="A14" s="4" t="s">
        <v>14</v>
      </c>
      <c r="B14" s="5">
        <v>1</v>
      </c>
      <c r="C14" s="5">
        <v>1</v>
      </c>
    </row>
    <row r="15" spans="1:3" x14ac:dyDescent="0.2">
      <c r="A15" s="4" t="s">
        <v>17</v>
      </c>
      <c r="B15" s="5">
        <v>1</v>
      </c>
      <c r="C15" s="5">
        <v>1</v>
      </c>
    </row>
    <row r="16" spans="1:3" x14ac:dyDescent="0.2">
      <c r="A16" s="4" t="s">
        <v>35</v>
      </c>
      <c r="B16" s="5">
        <v>1582</v>
      </c>
      <c r="C16" s="5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41AE-FABB-3049-BD3F-DA0317EDD7AF}">
  <dimension ref="A3:B25"/>
  <sheetViews>
    <sheetView workbookViewId="0">
      <selection activeCell="A4" sqref="A4"/>
    </sheetView>
  </sheetViews>
  <sheetFormatPr baseColWidth="10" defaultRowHeight="15" x14ac:dyDescent="0.2"/>
  <cols>
    <col min="1" max="1" width="27.33203125" bestFit="1" customWidth="1"/>
    <col min="2" max="2" width="20.33203125" bestFit="1" customWidth="1"/>
  </cols>
  <sheetData>
    <row r="3" spans="1:2" x14ac:dyDescent="0.2">
      <c r="A3" s="3" t="s">
        <v>34</v>
      </c>
      <c r="B3" t="s">
        <v>36</v>
      </c>
    </row>
    <row r="4" spans="1:2" x14ac:dyDescent="0.2">
      <c r="A4" s="4" t="s">
        <v>26</v>
      </c>
      <c r="B4" s="5">
        <v>1221</v>
      </c>
    </row>
    <row r="5" spans="1:2" x14ac:dyDescent="0.2">
      <c r="A5" s="6" t="s">
        <v>27</v>
      </c>
      <c r="B5" s="5">
        <v>379</v>
      </c>
    </row>
    <row r="6" spans="1:2" x14ac:dyDescent="0.2">
      <c r="A6" s="6" t="s">
        <v>28</v>
      </c>
      <c r="B6" s="5">
        <v>276</v>
      </c>
    </row>
    <row r="7" spans="1:2" x14ac:dyDescent="0.2">
      <c r="A7" s="6" t="s">
        <v>13</v>
      </c>
      <c r="B7" s="5">
        <v>248</v>
      </c>
    </row>
    <row r="8" spans="1:2" x14ac:dyDescent="0.2">
      <c r="A8" s="6" t="s">
        <v>11</v>
      </c>
      <c r="B8" s="5">
        <v>98</v>
      </c>
    </row>
    <row r="9" spans="1:2" x14ac:dyDescent="0.2">
      <c r="A9" s="6" t="s">
        <v>6</v>
      </c>
      <c r="B9" s="5">
        <v>93</v>
      </c>
    </row>
    <row r="10" spans="1:2" x14ac:dyDescent="0.2">
      <c r="A10" s="6" t="s">
        <v>7</v>
      </c>
      <c r="B10" s="5">
        <v>53</v>
      </c>
    </row>
    <row r="11" spans="1:2" x14ac:dyDescent="0.2">
      <c r="A11" s="6" t="s">
        <v>4</v>
      </c>
      <c r="B11" s="5">
        <v>37</v>
      </c>
    </row>
    <row r="12" spans="1:2" x14ac:dyDescent="0.2">
      <c r="A12" s="6" t="s">
        <v>10</v>
      </c>
      <c r="B12" s="5">
        <v>32</v>
      </c>
    </row>
    <row r="13" spans="1:2" x14ac:dyDescent="0.2">
      <c r="A13" s="6" t="s">
        <v>16</v>
      </c>
      <c r="B13" s="5">
        <v>5</v>
      </c>
    </row>
    <row r="14" spans="1:2" x14ac:dyDescent="0.2">
      <c r="A14" s="4" t="s">
        <v>15</v>
      </c>
      <c r="B14" s="5">
        <v>109</v>
      </c>
    </row>
    <row r="15" spans="1:2" x14ac:dyDescent="0.2">
      <c r="A15" s="4" t="s">
        <v>19</v>
      </c>
      <c r="B15" s="5">
        <v>85</v>
      </c>
    </row>
    <row r="16" spans="1:2" x14ac:dyDescent="0.2">
      <c r="A16" s="4" t="s">
        <v>12</v>
      </c>
      <c r="B16" s="5">
        <v>56</v>
      </c>
    </row>
    <row r="17" spans="1:2" x14ac:dyDescent="0.2">
      <c r="A17" s="4" t="s">
        <v>5</v>
      </c>
      <c r="B17" s="5">
        <v>45</v>
      </c>
    </row>
    <row r="18" spans="1:2" x14ac:dyDescent="0.2">
      <c r="A18" s="4" t="s">
        <v>18</v>
      </c>
      <c r="B18" s="5">
        <v>35</v>
      </c>
    </row>
    <row r="19" spans="1:2" x14ac:dyDescent="0.2">
      <c r="A19" s="4" t="s">
        <v>25</v>
      </c>
      <c r="B19" s="5">
        <v>16</v>
      </c>
    </row>
    <row r="20" spans="1:2" x14ac:dyDescent="0.2">
      <c r="A20" s="4" t="s">
        <v>9</v>
      </c>
      <c r="B20" s="5">
        <v>6</v>
      </c>
    </row>
    <row r="21" spans="1:2" x14ac:dyDescent="0.2">
      <c r="A21" s="4" t="s">
        <v>24</v>
      </c>
      <c r="B21" s="5">
        <v>5</v>
      </c>
    </row>
    <row r="22" spans="1:2" x14ac:dyDescent="0.2">
      <c r="A22" s="4" t="s">
        <v>8</v>
      </c>
      <c r="B22" s="5">
        <v>2</v>
      </c>
    </row>
    <row r="23" spans="1:2" x14ac:dyDescent="0.2">
      <c r="A23" s="4" t="s">
        <v>14</v>
      </c>
      <c r="B23" s="5">
        <v>1</v>
      </c>
    </row>
    <row r="24" spans="1:2" x14ac:dyDescent="0.2">
      <c r="A24" s="4" t="s">
        <v>17</v>
      </c>
      <c r="B24" s="5">
        <v>1</v>
      </c>
    </row>
    <row r="25" spans="1:2" x14ac:dyDescent="0.2">
      <c r="A25" s="4" t="s">
        <v>35</v>
      </c>
      <c r="B25" s="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8CC7-410D-9344-98CF-17DD13AC6F4D}">
  <dimension ref="A3:B21"/>
  <sheetViews>
    <sheetView tabSelected="1" workbookViewId="0">
      <selection activeCell="A4" sqref="A4"/>
    </sheetView>
  </sheetViews>
  <sheetFormatPr baseColWidth="10" defaultRowHeight="15" x14ac:dyDescent="0.2"/>
  <cols>
    <col min="1" max="1" width="25" bestFit="1" customWidth="1"/>
    <col min="2" max="2" width="20.33203125" bestFit="1" customWidth="1"/>
  </cols>
  <sheetData>
    <row r="3" spans="1:2" x14ac:dyDescent="0.2">
      <c r="A3" s="3" t="s">
        <v>34</v>
      </c>
      <c r="B3" t="s">
        <v>36</v>
      </c>
    </row>
    <row r="4" spans="1:2" x14ac:dyDescent="0.2">
      <c r="A4" s="4" t="s">
        <v>16</v>
      </c>
      <c r="B4" s="5">
        <v>15</v>
      </c>
    </row>
    <row r="5" spans="1:2" x14ac:dyDescent="0.2">
      <c r="A5" s="6" t="s">
        <v>15</v>
      </c>
      <c r="B5" s="5">
        <v>9</v>
      </c>
    </row>
    <row r="6" spans="1:2" x14ac:dyDescent="0.2">
      <c r="A6" s="6" t="s">
        <v>25</v>
      </c>
      <c r="B6" s="5">
        <v>1</v>
      </c>
    </row>
    <row r="7" spans="1:2" x14ac:dyDescent="0.2">
      <c r="A7" s="6" t="s">
        <v>26</v>
      </c>
      <c r="B7" s="5">
        <v>5</v>
      </c>
    </row>
    <row r="8" spans="1:2" x14ac:dyDescent="0.2">
      <c r="A8" s="4" t="s">
        <v>13</v>
      </c>
      <c r="B8" s="5">
        <v>290</v>
      </c>
    </row>
    <row r="9" spans="1:2" x14ac:dyDescent="0.2">
      <c r="A9" s="4" t="s">
        <v>11</v>
      </c>
      <c r="B9" s="5">
        <v>100</v>
      </c>
    </row>
    <row r="10" spans="1:2" x14ac:dyDescent="0.2">
      <c r="A10" s="4" t="s">
        <v>28</v>
      </c>
      <c r="B10" s="5">
        <v>283</v>
      </c>
    </row>
    <row r="11" spans="1:2" x14ac:dyDescent="0.2">
      <c r="A11" s="4" t="s">
        <v>6</v>
      </c>
      <c r="B11" s="5">
        <v>150</v>
      </c>
    </row>
    <row r="12" spans="1:2" x14ac:dyDescent="0.2">
      <c r="A12" s="4" t="s">
        <v>21</v>
      </c>
      <c r="B12" s="5">
        <v>4</v>
      </c>
    </row>
    <row r="13" spans="1:2" x14ac:dyDescent="0.2">
      <c r="A13" s="4" t="s">
        <v>23</v>
      </c>
      <c r="B13" s="5">
        <v>1</v>
      </c>
    </row>
    <row r="14" spans="1:2" x14ac:dyDescent="0.2">
      <c r="A14" s="4" t="s">
        <v>22</v>
      </c>
      <c r="B14" s="5">
        <v>47</v>
      </c>
    </row>
    <row r="15" spans="1:2" x14ac:dyDescent="0.2">
      <c r="A15" s="4" t="s">
        <v>3</v>
      </c>
      <c r="B15" s="5">
        <v>20</v>
      </c>
    </row>
    <row r="16" spans="1:2" x14ac:dyDescent="0.2">
      <c r="A16" s="4" t="s">
        <v>20</v>
      </c>
      <c r="B16" s="5">
        <v>8</v>
      </c>
    </row>
    <row r="17" spans="1:2" x14ac:dyDescent="0.2">
      <c r="A17" s="4" t="s">
        <v>4</v>
      </c>
      <c r="B17" s="5">
        <v>130</v>
      </c>
    </row>
    <row r="18" spans="1:2" x14ac:dyDescent="0.2">
      <c r="A18" s="4" t="s">
        <v>7</v>
      </c>
      <c r="B18" s="5">
        <v>90</v>
      </c>
    </row>
    <row r="19" spans="1:2" x14ac:dyDescent="0.2">
      <c r="A19" s="4" t="s">
        <v>27</v>
      </c>
      <c r="B19" s="5">
        <v>379</v>
      </c>
    </row>
    <row r="20" spans="1:2" x14ac:dyDescent="0.2">
      <c r="A20" s="4" t="s">
        <v>10</v>
      </c>
      <c r="B20" s="5">
        <v>65</v>
      </c>
    </row>
    <row r="21" spans="1:2" x14ac:dyDescent="0.2">
      <c r="A21" s="4" t="s">
        <v>35</v>
      </c>
      <c r="B21" s="5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رائد الدخيل ID 444105999</cp:lastModifiedBy>
  <dcterms:created xsi:type="dcterms:W3CDTF">2020-09-01T17:18:12Z</dcterms:created>
  <dcterms:modified xsi:type="dcterms:W3CDTF">2026-04-01T12:53:07Z</dcterms:modified>
</cp:coreProperties>
</file>